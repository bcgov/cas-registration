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bastian/projects/cas-registration/bc_obps/reporting/tests/service/test_compliance_service/"/>
    </mc:Choice>
  </mc:AlternateContent>
  <xr:revisionPtr revIDLastSave="0" documentId="13_ncr:1_{1302EBBD-825F-F449-90FE-5017A90933A2}" xr6:coauthVersionLast="47" xr6:coauthVersionMax="47" xr10:uidLastSave="{00000000-0000-0000-0000-000000000000}"/>
  <bookViews>
    <workbookView xWindow="17800" yWindow="-21000" windowWidth="38400" windowHeight="21000" tabRatio="50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 (chem. Pulp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30" i="6" l="1"/>
  <c r="C30" i="6"/>
  <c r="D30" i="6"/>
  <c r="C25" i="6"/>
  <c r="C29" i="6"/>
  <c r="D29" i="6"/>
  <c r="D28" i="6"/>
  <c r="D32" i="6" s="1"/>
  <c r="C28" i="6"/>
  <c r="C31" i="6" s="1"/>
  <c r="B28" i="6"/>
  <c r="B31" i="6" s="1"/>
  <c r="B25" i="6"/>
  <c r="B29" i="6" s="1"/>
  <c r="G7" i="6"/>
  <c r="G28" i="5"/>
  <c r="G29" i="5"/>
  <c r="G30" i="5"/>
  <c r="G31" i="5"/>
  <c r="G32" i="5"/>
  <c r="G27" i="5"/>
  <c r="C31" i="5"/>
  <c r="B31" i="5"/>
  <c r="C30" i="5"/>
  <c r="C32" i="5" s="1"/>
  <c r="B30" i="5"/>
  <c r="B32" i="5" s="1"/>
  <c r="D29" i="5"/>
  <c r="D31" i="5" s="1"/>
  <c r="C29" i="5"/>
  <c r="B29" i="5"/>
  <c r="D28" i="5"/>
  <c r="C28" i="5"/>
  <c r="B28" i="5"/>
  <c r="D27" i="5"/>
  <c r="C27" i="5"/>
  <c r="B27" i="5"/>
  <c r="D31" i="4"/>
  <c r="C31" i="4"/>
  <c r="B31" i="4"/>
  <c r="F31" i="4" s="1"/>
  <c r="D29" i="4"/>
  <c r="D30" i="4" s="1"/>
  <c r="D32" i="4" s="1"/>
  <c r="C29" i="4"/>
  <c r="C30" i="4" s="1"/>
  <c r="C32" i="4" s="1"/>
  <c r="B29" i="4"/>
  <c r="B30" i="4" s="1"/>
  <c r="D28" i="4"/>
  <c r="C28" i="4"/>
  <c r="F28" i="4" s="1"/>
  <c r="B28" i="4"/>
  <c r="D27" i="4"/>
  <c r="C27" i="4"/>
  <c r="F27" i="4" s="1"/>
  <c r="B27" i="4"/>
  <c r="B32" i="3"/>
  <c r="B31" i="3"/>
  <c r="B30" i="3"/>
  <c r="D29" i="3"/>
  <c r="D30" i="3" s="1"/>
  <c r="C29" i="3"/>
  <c r="F29" i="3" s="1"/>
  <c r="B29" i="3"/>
  <c r="D28" i="3"/>
  <c r="C28" i="3"/>
  <c r="F28" i="3" s="1"/>
  <c r="B28" i="3"/>
  <c r="D27" i="3"/>
  <c r="C27" i="3"/>
  <c r="B27" i="3"/>
  <c r="F27" i="3" s="1"/>
  <c r="C31" i="2"/>
  <c r="B31" i="2"/>
  <c r="D30" i="2"/>
  <c r="C30" i="2"/>
  <c r="C32" i="2" s="1"/>
  <c r="D29" i="2"/>
  <c r="D31" i="2" s="1"/>
  <c r="C29" i="2"/>
  <c r="F29" i="2" s="1"/>
  <c r="B29" i="2"/>
  <c r="D28" i="2"/>
  <c r="C28" i="2"/>
  <c r="B28" i="2"/>
  <c r="F28" i="2" s="1"/>
  <c r="F27" i="2"/>
  <c r="D27" i="2"/>
  <c r="C27" i="2"/>
  <c r="B27" i="2"/>
  <c r="B30" i="2" s="1"/>
  <c r="B29" i="1"/>
  <c r="B31" i="1" s="1"/>
  <c r="B28" i="1"/>
  <c r="B27" i="1"/>
  <c r="B30" i="1" s="1"/>
  <c r="B32" i="1" s="1"/>
  <c r="F29" i="6" l="1"/>
  <c r="C26" i="6"/>
  <c r="B26" i="6"/>
  <c r="B32" i="6"/>
  <c r="F28" i="6"/>
  <c r="D33" i="6"/>
  <c r="D31" i="6"/>
  <c r="F31" i="6" s="1"/>
  <c r="D30" i="5"/>
  <c r="D32" i="5" s="1"/>
  <c r="F30" i="2"/>
  <c r="B32" i="2"/>
  <c r="D32" i="2"/>
  <c r="F31" i="2"/>
  <c r="B32" i="4"/>
  <c r="F32" i="4" s="1"/>
  <c r="F30" i="4"/>
  <c r="C30" i="3"/>
  <c r="C32" i="3" s="1"/>
  <c r="F29" i="4"/>
  <c r="C31" i="3"/>
  <c r="F31" i="3" s="1"/>
  <c r="D31" i="3"/>
  <c r="D32" i="3" s="1"/>
  <c r="C32" i="6" l="1"/>
  <c r="C33" i="6" s="1"/>
  <c r="F30" i="6"/>
  <c r="G30" i="6" s="1"/>
  <c r="B33" i="6"/>
  <c r="F32" i="3"/>
  <c r="F30" i="3"/>
  <c r="F32" i="2"/>
  <c r="F33" i="6" l="1"/>
  <c r="F32" i="6"/>
</calcChain>
</file>

<file path=xl/sharedStrings.xml><?xml version="1.0" encoding="utf-8"?>
<sst xmlns="http://schemas.openxmlformats.org/spreadsheetml/2006/main" count="182" uniqueCount="54">
  <si>
    <t>Product 1</t>
  </si>
  <si>
    <t>Product 2</t>
  </si>
  <si>
    <t>Product 3</t>
  </si>
  <si>
    <t>Emission 1</t>
  </si>
  <si>
    <t>flaring</t>
  </si>
  <si>
    <t>Params</t>
  </si>
  <si>
    <t>Emission 2</t>
  </si>
  <si>
    <t>industrial process</t>
  </si>
  <si>
    <t>Emission 3</t>
  </si>
  <si>
    <t>on site / excluded nonbio</t>
  </si>
  <si>
    <t>Emission sum</t>
  </si>
  <si>
    <t>Reporting only emissions</t>
  </si>
  <si>
    <t>Industrial Process emissions</t>
  </si>
  <si>
    <t>Allocated</t>
  </si>
  <si>
    <t>Allocated Reporting Only</t>
  </si>
  <si>
    <t>annual production</t>
  </si>
  <si>
    <t>apr dec production</t>
  </si>
  <si>
    <t>emission intensity</t>
  </si>
  <si>
    <t>rd factor</t>
  </si>
  <si>
    <t>tightening rate</t>
  </si>
  <si>
    <t>compliance period</t>
  </si>
  <si>
    <t>CALCS test1</t>
  </si>
  <si>
    <t>allocated</t>
  </si>
  <si>
    <t>Allocated reporting only</t>
  </si>
  <si>
    <t>Allocated for compliance</t>
  </si>
  <si>
    <t>Allocated 2024</t>
  </si>
  <si>
    <t>emission limit</t>
  </si>
  <si>
    <t>excess</t>
  </si>
  <si>
    <t>credited</t>
  </si>
  <si>
    <t>excess/credited</t>
  </si>
  <si>
    <t>mobile</t>
  </si>
  <si>
    <t>Emission 4</t>
  </si>
  <si>
    <t>Gsc / excluded nonbio</t>
  </si>
  <si>
    <t>Product 4 (unregulated)</t>
  </si>
  <si>
    <t>Emission 5</t>
  </si>
  <si>
    <t>n/a</t>
  </si>
  <si>
    <t>GSC / funny category 13</t>
  </si>
  <si>
    <t>&lt;= The system adds the funny category emissions to the reporting only automatically</t>
  </si>
  <si>
    <t>pulp and paper: chemical pulp</t>
  </si>
  <si>
    <t>pulp and paper: lime recovered by kiln</t>
  </si>
  <si>
    <t>gsc</t>
  </si>
  <si>
    <t>industrial process / excl biomass</t>
  </si>
  <si>
    <t>Biogenic emissions split</t>
  </si>
  <si>
    <t>gsc excl. biomass</t>
  </si>
  <si>
    <t>GSC (both regualr and excluded biomass) split:
- 2100 tco2e to chem pulp
- 2100 tco2e to lime recovered
- 6300.0001 to product 3
Industrial process (both regular and excl biomass):
- 10000.048 to chem pulp
- 20000.0008 to lime recovered
- 0 to product 3</t>
  </si>
  <si>
    <t>Total Emission</t>
  </si>
  <si>
    <t>question whether we include the subtracted overlap in the reporting only</t>
  </si>
  <si>
    <t>biogenic industrial emissions (overlap)</t>
  </si>
  <si>
    <t>non-biogenic industrial process</t>
  </si>
  <si>
    <t>Cam Webster</t>
  </si>
  <si>
    <t>is our contact now for p&amp;p</t>
  </si>
  <si>
    <t>Allocated non-industrial reporting only</t>
  </si>
  <si>
    <t>&lt;= Total Reporting + compliance emissions computed (should be equal to total emissions reported)</t>
  </si>
  <si>
    <t>Allocated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</si>
</sst>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3"/>
  <sheetViews>
    <sheetView zoomScaleNormal="100" workbookViewId="0">
      <selection activeCell="H24" sqref="H24"/>
    </sheetView>
  </sheetViews>
  <sheetFormatPr baseColWidth="10" defaultColWidth="11.5" defaultRowHeight="13" x14ac:dyDescent="0.15"/>
  <cols>
    <col min="1" max="1" width="24.33203125" customWidth="1"/>
    <col min="2" max="2" width="23.33203125" customWidth="1"/>
    <col min="3" max="3" width="22.6640625" customWidth="1"/>
    <col min="4" max="4" width="23" customWidth="1"/>
  </cols>
  <sheetData>
    <row r="2" spans="1:8" x14ac:dyDescent="0.15">
      <c r="B2" t="s">
        <v>0</v>
      </c>
      <c r="C2" t="s">
        <v>1</v>
      </c>
      <c r="D2" t="s">
        <v>2</v>
      </c>
      <c r="F2" t="s">
        <v>3</v>
      </c>
      <c r="G2">
        <v>10000.000099999999</v>
      </c>
      <c r="H2" t="s">
        <v>4</v>
      </c>
    </row>
    <row r="3" spans="1:8" x14ac:dyDescent="0.15">
      <c r="A3" t="s">
        <v>5</v>
      </c>
      <c r="F3" t="s">
        <v>6</v>
      </c>
      <c r="G3">
        <v>20000.998800000001</v>
      </c>
      <c r="H3" t="s">
        <v>7</v>
      </c>
    </row>
    <row r="4" spans="1:8" x14ac:dyDescent="0.15">
      <c r="F4" t="s">
        <v>8</v>
      </c>
      <c r="G4">
        <v>3000.05</v>
      </c>
      <c r="H4" t="s">
        <v>9</v>
      </c>
    </row>
    <row r="5" spans="1:8" x14ac:dyDescent="0.15">
      <c r="A5" t="s">
        <v>10</v>
      </c>
      <c r="B5">
        <v>10000.000099999999</v>
      </c>
    </row>
    <row r="6" spans="1:8" x14ac:dyDescent="0.15">
      <c r="A6" t="s">
        <v>11</v>
      </c>
      <c r="B6">
        <v>0</v>
      </c>
    </row>
    <row r="7" spans="1:8" x14ac:dyDescent="0.15">
      <c r="A7" t="s">
        <v>12</v>
      </c>
      <c r="B7">
        <v>0</v>
      </c>
    </row>
    <row r="9" spans="1:8" x14ac:dyDescent="0.15">
      <c r="A9" t="s">
        <v>13</v>
      </c>
      <c r="B9">
        <v>10000.000099999999</v>
      </c>
    </row>
    <row r="10" spans="1:8" x14ac:dyDescent="0.15">
      <c r="A10" t="s">
        <v>14</v>
      </c>
      <c r="B10">
        <v>0</v>
      </c>
    </row>
    <row r="11" spans="1:8" x14ac:dyDescent="0.15">
      <c r="A11" t="s">
        <v>15</v>
      </c>
      <c r="B11">
        <v>100000</v>
      </c>
    </row>
    <row r="12" spans="1:8" x14ac:dyDescent="0.15">
      <c r="A12" t="s">
        <v>16</v>
      </c>
      <c r="B12">
        <v>50000</v>
      </c>
    </row>
    <row r="14" spans="1:8" x14ac:dyDescent="0.15">
      <c r="A14" t="s">
        <v>17</v>
      </c>
      <c r="B14">
        <v>4.8999999999999998E-3</v>
      </c>
    </row>
    <row r="16" spans="1:8" x14ac:dyDescent="0.15">
      <c r="A16" t="s">
        <v>18</v>
      </c>
      <c r="B16">
        <v>0.65</v>
      </c>
    </row>
    <row r="17" spans="1:2" x14ac:dyDescent="0.15">
      <c r="A17" t="s">
        <v>19</v>
      </c>
      <c r="B17">
        <v>0.01</v>
      </c>
    </row>
    <row r="18" spans="1:2" x14ac:dyDescent="0.15">
      <c r="A18" t="s">
        <v>20</v>
      </c>
      <c r="B18">
        <v>2024</v>
      </c>
    </row>
    <row r="25" spans="1:2" x14ac:dyDescent="0.15">
      <c r="A25" t="s">
        <v>21</v>
      </c>
    </row>
    <row r="27" spans="1:2" x14ac:dyDescent="0.15">
      <c r="A27" t="s">
        <v>22</v>
      </c>
      <c r="B27">
        <f>B9</f>
        <v>10000.000099999999</v>
      </c>
    </row>
    <row r="28" spans="1:2" x14ac:dyDescent="0.15">
      <c r="A28" t="s">
        <v>23</v>
      </c>
      <c r="B28">
        <f>B10</f>
        <v>0</v>
      </c>
    </row>
    <row r="29" spans="1:2" x14ac:dyDescent="0.15">
      <c r="A29" t="s">
        <v>24</v>
      </c>
      <c r="B29">
        <f>B9-B10</f>
        <v>10000.000099999999</v>
      </c>
    </row>
    <row r="30" spans="1:2" x14ac:dyDescent="0.15">
      <c r="A30" t="s">
        <v>25</v>
      </c>
      <c r="B30">
        <f>SUM(B27 / B11 * B12)</f>
        <v>5000.0000499999996</v>
      </c>
    </row>
    <row r="31" spans="1:2" x14ac:dyDescent="0.15">
      <c r="A31" t="s">
        <v>26</v>
      </c>
      <c r="B31">
        <f>SUM((B14*B12)*(B16-((1-(B7/B29))*B17*(B18-2024))))</f>
        <v>159.25</v>
      </c>
    </row>
    <row r="32" spans="1:2" x14ac:dyDescent="0.15">
      <c r="A32" t="s">
        <v>27</v>
      </c>
      <c r="B32">
        <f>SUM(B30 - B31)</f>
        <v>4840.7500499999996</v>
      </c>
    </row>
    <row r="33" spans="1:1" x14ac:dyDescent="0.15">
      <c r="A33" t="s">
        <v>28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2"/>
  <sheetViews>
    <sheetView zoomScaleNormal="100" workbookViewId="0">
      <selection activeCell="I46" sqref="A1:I46"/>
    </sheetView>
  </sheetViews>
  <sheetFormatPr baseColWidth="10" defaultColWidth="11.5" defaultRowHeight="13" x14ac:dyDescent="0.15"/>
  <cols>
    <col min="1" max="1" width="24.33203125" customWidth="1"/>
    <col min="2" max="2" width="23.33203125" customWidth="1"/>
    <col min="3" max="3" width="22.6640625" customWidth="1"/>
    <col min="4" max="4" width="23" customWidth="1"/>
  </cols>
  <sheetData>
    <row r="2" spans="1:8" x14ac:dyDescent="0.15">
      <c r="B2" t="s">
        <v>0</v>
      </c>
      <c r="C2" t="s">
        <v>1</v>
      </c>
      <c r="D2" t="s">
        <v>2</v>
      </c>
      <c r="F2" t="s">
        <v>3</v>
      </c>
      <c r="G2">
        <v>10000.000099999999</v>
      </c>
      <c r="H2" t="s">
        <v>4</v>
      </c>
    </row>
    <row r="3" spans="1:8" x14ac:dyDescent="0.15">
      <c r="A3" t="s">
        <v>5</v>
      </c>
      <c r="F3" t="s">
        <v>6</v>
      </c>
      <c r="G3">
        <v>20000.998800000001</v>
      </c>
      <c r="H3" t="s">
        <v>7</v>
      </c>
    </row>
    <row r="4" spans="1:8" x14ac:dyDescent="0.15">
      <c r="F4" t="s">
        <v>8</v>
      </c>
      <c r="G4">
        <v>3000.05</v>
      </c>
      <c r="H4" t="s">
        <v>9</v>
      </c>
    </row>
    <row r="7" spans="1:8" x14ac:dyDescent="0.15">
      <c r="A7" t="s">
        <v>12</v>
      </c>
      <c r="B7">
        <v>0</v>
      </c>
      <c r="C7">
        <v>10000.998799999999</v>
      </c>
      <c r="D7">
        <v>0</v>
      </c>
    </row>
    <row r="9" spans="1:8" x14ac:dyDescent="0.15">
      <c r="A9" t="s">
        <v>13</v>
      </c>
      <c r="B9">
        <v>10000.000099999999</v>
      </c>
      <c r="C9">
        <v>35000.998800000001</v>
      </c>
      <c r="D9">
        <v>75000.008799999996</v>
      </c>
    </row>
    <row r="10" spans="1:8" x14ac:dyDescent="0.15">
      <c r="A10" t="s">
        <v>14</v>
      </c>
      <c r="B10">
        <v>0</v>
      </c>
      <c r="C10">
        <v>0</v>
      </c>
      <c r="D10">
        <v>0</v>
      </c>
    </row>
    <row r="11" spans="1:8" x14ac:dyDescent="0.15">
      <c r="A11" t="s">
        <v>15</v>
      </c>
      <c r="B11">
        <v>100000</v>
      </c>
      <c r="C11">
        <v>100000</v>
      </c>
      <c r="D11">
        <v>20000</v>
      </c>
    </row>
    <row r="12" spans="1:8" x14ac:dyDescent="0.15">
      <c r="A12" t="s">
        <v>16</v>
      </c>
      <c r="B12">
        <v>50000</v>
      </c>
      <c r="C12">
        <v>25000</v>
      </c>
      <c r="D12">
        <v>15000</v>
      </c>
    </row>
    <row r="14" spans="1:8" x14ac:dyDescent="0.15">
      <c r="A14" t="s">
        <v>17</v>
      </c>
      <c r="B14">
        <v>4.8999999999999998E-3</v>
      </c>
      <c r="C14">
        <v>0.62619999999999998</v>
      </c>
      <c r="D14">
        <v>1.07</v>
      </c>
    </row>
    <row r="16" spans="1:8" x14ac:dyDescent="0.15">
      <c r="A16" t="s">
        <v>18</v>
      </c>
      <c r="B16">
        <v>0.65</v>
      </c>
      <c r="C16">
        <v>0.65</v>
      </c>
      <c r="D16">
        <v>0.65</v>
      </c>
    </row>
    <row r="17" spans="1:6" x14ac:dyDescent="0.15">
      <c r="A17" t="s">
        <v>19</v>
      </c>
      <c r="B17">
        <v>0.01</v>
      </c>
      <c r="C17">
        <v>0.01</v>
      </c>
      <c r="D17">
        <v>0.01</v>
      </c>
    </row>
    <row r="18" spans="1:6" x14ac:dyDescent="0.15">
      <c r="A18" t="s">
        <v>20</v>
      </c>
      <c r="B18">
        <v>2024</v>
      </c>
      <c r="C18">
        <v>2024</v>
      </c>
      <c r="D18">
        <v>2024</v>
      </c>
    </row>
    <row r="25" spans="1:6" x14ac:dyDescent="0.15">
      <c r="A25" t="s">
        <v>21</v>
      </c>
    </row>
    <row r="27" spans="1:6" x14ac:dyDescent="0.15">
      <c r="A27" t="s">
        <v>22</v>
      </c>
      <c r="B27">
        <f t="shared" ref="B27:D28" si="0">B9</f>
        <v>10000.000099999999</v>
      </c>
      <c r="C27">
        <f t="shared" si="0"/>
        <v>35000.998800000001</v>
      </c>
      <c r="D27">
        <f t="shared" si="0"/>
        <v>75000.008799999996</v>
      </c>
      <c r="F27">
        <f t="shared" ref="F27:F32" si="1">SUM(B27:D27)</f>
        <v>120001.00769999999</v>
      </c>
    </row>
    <row r="28" spans="1:6" x14ac:dyDescent="0.15">
      <c r="A28" t="s">
        <v>23</v>
      </c>
      <c r="B28">
        <f t="shared" si="0"/>
        <v>0</v>
      </c>
      <c r="C28">
        <f t="shared" si="0"/>
        <v>0</v>
      </c>
      <c r="D28">
        <f t="shared" si="0"/>
        <v>0</v>
      </c>
      <c r="F28">
        <f t="shared" si="1"/>
        <v>0</v>
      </c>
    </row>
    <row r="29" spans="1:6" x14ac:dyDescent="0.15">
      <c r="A29" t="s">
        <v>24</v>
      </c>
      <c r="B29">
        <f>B9-B10</f>
        <v>10000.000099999999</v>
      </c>
      <c r="C29">
        <f>C9-C10</f>
        <v>35000.998800000001</v>
      </c>
      <c r="D29">
        <f>D9-D10</f>
        <v>75000.008799999996</v>
      </c>
      <c r="F29">
        <f t="shared" si="1"/>
        <v>120001.00769999999</v>
      </c>
    </row>
    <row r="30" spans="1:6" x14ac:dyDescent="0.15">
      <c r="A30" t="s">
        <v>25</v>
      </c>
      <c r="B30">
        <f>SUM(B27 / B11 * B12)</f>
        <v>5000.0000499999996</v>
      </c>
      <c r="C30">
        <f>SUM(C27 / C11 * C12)</f>
        <v>8750.2497000000003</v>
      </c>
      <c r="D30">
        <f>SUM(D27 / D11 * D12)</f>
        <v>56250.006600000001</v>
      </c>
      <c r="F30">
        <f t="shared" si="1"/>
        <v>70000.256349999996</v>
      </c>
    </row>
    <row r="31" spans="1:6" x14ac:dyDescent="0.15">
      <c r="A31" t="s">
        <v>26</v>
      </c>
      <c r="B31">
        <f>SUM((B14*B12)*(B16-((1-(B7/B29))*B17*(B18-2024))))</f>
        <v>159.25</v>
      </c>
      <c r="C31">
        <f>SUM((C14*C12)*(C16-((1-(C7/C29))*C17*(C18-2024))))</f>
        <v>10175.75</v>
      </c>
      <c r="D31">
        <f>SUM((D14*D12)*(D16-((1-(D7/D29))*D17*(D18-2024))))</f>
        <v>10432.500000000002</v>
      </c>
      <c r="F31">
        <f t="shared" si="1"/>
        <v>20767.5</v>
      </c>
    </row>
    <row r="32" spans="1:6" x14ac:dyDescent="0.15">
      <c r="A32" t="s">
        <v>29</v>
      </c>
      <c r="B32">
        <f>SUM(B30 - B31)</f>
        <v>4840.7500499999996</v>
      </c>
      <c r="C32">
        <f>SUM(C30 - C31)</f>
        <v>-1425.5002999999997</v>
      </c>
      <c r="D32">
        <f>SUM(D30 - D31)</f>
        <v>45817.506600000001</v>
      </c>
      <c r="F32">
        <f t="shared" si="1"/>
        <v>49232.756350000003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2"/>
  <sheetViews>
    <sheetView zoomScale="160" zoomScaleNormal="160" workbookViewId="0">
      <selection activeCell="B11" sqref="B11"/>
    </sheetView>
  </sheetViews>
  <sheetFormatPr baseColWidth="10" defaultColWidth="11.5" defaultRowHeight="13" x14ac:dyDescent="0.15"/>
  <cols>
    <col min="1" max="1" width="24.33203125" customWidth="1"/>
    <col min="2" max="2" width="23.33203125" customWidth="1"/>
    <col min="3" max="3" width="22.6640625" customWidth="1"/>
    <col min="4" max="4" width="23" customWidth="1"/>
  </cols>
  <sheetData>
    <row r="2" spans="1:8" x14ac:dyDescent="0.15">
      <c r="B2" t="s">
        <v>0</v>
      </c>
      <c r="C2" t="s">
        <v>1</v>
      </c>
      <c r="D2" t="s">
        <v>2</v>
      </c>
      <c r="F2" t="s">
        <v>3</v>
      </c>
      <c r="G2">
        <v>10000.000099999999</v>
      </c>
      <c r="H2" t="s">
        <v>4</v>
      </c>
    </row>
    <row r="3" spans="1:8" x14ac:dyDescent="0.15">
      <c r="A3" t="s">
        <v>5</v>
      </c>
      <c r="F3" t="s">
        <v>6</v>
      </c>
      <c r="G3">
        <v>10000.998799999999</v>
      </c>
      <c r="H3" t="s">
        <v>7</v>
      </c>
    </row>
    <row r="4" spans="1:8" x14ac:dyDescent="0.15">
      <c r="F4" t="s">
        <v>8</v>
      </c>
      <c r="G4">
        <v>100000.0088</v>
      </c>
      <c r="H4" t="s">
        <v>30</v>
      </c>
    </row>
    <row r="5" spans="1:8" x14ac:dyDescent="0.15">
      <c r="F5" t="s">
        <v>31</v>
      </c>
      <c r="G5">
        <v>3000.05</v>
      </c>
      <c r="H5" t="s">
        <v>32</v>
      </c>
    </row>
    <row r="7" spans="1:8" x14ac:dyDescent="0.15">
      <c r="A7" t="s">
        <v>12</v>
      </c>
      <c r="B7">
        <v>0</v>
      </c>
      <c r="C7">
        <v>10000.998799999999</v>
      </c>
      <c r="D7">
        <v>0</v>
      </c>
    </row>
    <row r="9" spans="1:8" x14ac:dyDescent="0.15">
      <c r="A9" t="s">
        <v>13</v>
      </c>
      <c r="B9">
        <v>13000.0501</v>
      </c>
      <c r="C9">
        <v>35000.998800000001</v>
      </c>
      <c r="D9">
        <v>75000.008799999996</v>
      </c>
    </row>
    <row r="10" spans="1:8" x14ac:dyDescent="0.15">
      <c r="A10" t="s">
        <v>14</v>
      </c>
      <c r="B10">
        <v>3000.05</v>
      </c>
      <c r="C10">
        <v>0</v>
      </c>
      <c r="D10">
        <v>0</v>
      </c>
    </row>
    <row r="11" spans="1:8" x14ac:dyDescent="0.15">
      <c r="A11" t="s">
        <v>15</v>
      </c>
      <c r="B11">
        <v>100000</v>
      </c>
      <c r="C11">
        <v>100000</v>
      </c>
      <c r="D11">
        <v>20000</v>
      </c>
    </row>
    <row r="12" spans="1:8" x14ac:dyDescent="0.15">
      <c r="A12" t="s">
        <v>16</v>
      </c>
      <c r="B12">
        <v>50000</v>
      </c>
      <c r="C12">
        <v>25000</v>
      </c>
      <c r="D12">
        <v>15000</v>
      </c>
    </row>
    <row r="14" spans="1:8" x14ac:dyDescent="0.15">
      <c r="A14" t="s">
        <v>17</v>
      </c>
      <c r="B14">
        <v>4.8999999999999998E-3</v>
      </c>
      <c r="C14">
        <v>0.62619999999999998</v>
      </c>
      <c r="D14">
        <v>1.07</v>
      </c>
    </row>
    <row r="16" spans="1:8" x14ac:dyDescent="0.15">
      <c r="A16" t="s">
        <v>18</v>
      </c>
      <c r="B16">
        <v>0.65</v>
      </c>
      <c r="C16">
        <v>0.65</v>
      </c>
      <c r="D16">
        <v>0.65</v>
      </c>
    </row>
    <row r="17" spans="1:6" x14ac:dyDescent="0.15">
      <c r="A17" t="s">
        <v>19</v>
      </c>
      <c r="B17">
        <v>0.01</v>
      </c>
      <c r="C17">
        <v>0.01</v>
      </c>
      <c r="D17">
        <v>0.01</v>
      </c>
    </row>
    <row r="18" spans="1:6" x14ac:dyDescent="0.15">
      <c r="A18" t="s">
        <v>20</v>
      </c>
      <c r="B18">
        <v>2024</v>
      </c>
      <c r="C18">
        <v>2024</v>
      </c>
      <c r="D18">
        <v>2024</v>
      </c>
    </row>
    <row r="25" spans="1:6" x14ac:dyDescent="0.15">
      <c r="A25" t="s">
        <v>21</v>
      </c>
    </row>
    <row r="27" spans="1:6" x14ac:dyDescent="0.15">
      <c r="A27" t="s">
        <v>22</v>
      </c>
      <c r="B27">
        <f t="shared" ref="B27:D28" si="0">B9</f>
        <v>13000.0501</v>
      </c>
      <c r="C27">
        <f t="shared" si="0"/>
        <v>35000.998800000001</v>
      </c>
      <c r="D27">
        <f t="shared" si="0"/>
        <v>75000.008799999996</v>
      </c>
      <c r="F27">
        <f t="shared" ref="F27:F32" si="1">SUM(B27:D27)</f>
        <v>123001.0577</v>
      </c>
    </row>
    <row r="28" spans="1:6" x14ac:dyDescent="0.15">
      <c r="A28" t="s">
        <v>23</v>
      </c>
      <c r="B28">
        <f t="shared" si="0"/>
        <v>3000.05</v>
      </c>
      <c r="C28">
        <f t="shared" si="0"/>
        <v>0</v>
      </c>
      <c r="D28">
        <f t="shared" si="0"/>
        <v>0</v>
      </c>
      <c r="F28">
        <f t="shared" si="1"/>
        <v>3000.05</v>
      </c>
    </row>
    <row r="29" spans="1:6" x14ac:dyDescent="0.15">
      <c r="A29" t="s">
        <v>24</v>
      </c>
      <c r="B29">
        <f>B9-B10</f>
        <v>10000.000100000001</v>
      </c>
      <c r="C29">
        <f>C9-C10</f>
        <v>35000.998800000001</v>
      </c>
      <c r="D29">
        <f>D9-D10</f>
        <v>75000.008799999996</v>
      </c>
      <c r="F29">
        <f t="shared" si="1"/>
        <v>120001.0077</v>
      </c>
    </row>
    <row r="30" spans="1:6" x14ac:dyDescent="0.15">
      <c r="A30" t="s">
        <v>25</v>
      </c>
      <c r="B30">
        <f>SUM(B29 / B11 * B12)</f>
        <v>5000.0000500000006</v>
      </c>
      <c r="C30">
        <f>SUM(C29 / C11 * C12)</f>
        <v>8750.2497000000003</v>
      </c>
      <c r="D30">
        <f>SUM(D29 / D11 * D12)</f>
        <v>56250.006600000001</v>
      </c>
      <c r="F30">
        <f t="shared" si="1"/>
        <v>70000.256349999996</v>
      </c>
    </row>
    <row r="31" spans="1:6" x14ac:dyDescent="0.15">
      <c r="A31" t="s">
        <v>26</v>
      </c>
      <c r="B31">
        <f>SUM((B14*B12)*(B16-((1-(B7/B29))*B17*(B18-2024))))</f>
        <v>159.25</v>
      </c>
      <c r="C31">
        <f>SUM((C14*C12)*(C16-((1-(C7/C29))*C17*(C18-2024))))</f>
        <v>10175.75</v>
      </c>
      <c r="D31">
        <f>SUM((D14*D12)*(D16-((1-(D7/D29))*D17*(D18-2024))))</f>
        <v>10432.500000000002</v>
      </c>
      <c r="F31">
        <f t="shared" si="1"/>
        <v>20767.5</v>
      </c>
    </row>
    <row r="32" spans="1:6" x14ac:dyDescent="0.15">
      <c r="A32" t="s">
        <v>29</v>
      </c>
      <c r="B32">
        <f>SUM(B30 - B31)</f>
        <v>4840.7500500000006</v>
      </c>
      <c r="C32">
        <f>SUM(C30 - C31)</f>
        <v>-1425.5002999999997</v>
      </c>
      <c r="D32">
        <f>SUM(D30 - D31)</f>
        <v>45817.506600000001</v>
      </c>
      <c r="F32">
        <f t="shared" si="1"/>
        <v>49232.756350000003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32"/>
  <sheetViews>
    <sheetView zoomScaleNormal="100" workbookViewId="0">
      <selection activeCell="D32" sqref="D32"/>
    </sheetView>
  </sheetViews>
  <sheetFormatPr baseColWidth="10" defaultColWidth="11.5" defaultRowHeight="13" x14ac:dyDescent="0.15"/>
  <cols>
    <col min="1" max="1" width="24.33203125" customWidth="1"/>
    <col min="2" max="2" width="23.33203125" customWidth="1"/>
    <col min="3" max="3" width="22.6640625" customWidth="1"/>
    <col min="4" max="4" width="23" customWidth="1"/>
  </cols>
  <sheetData>
    <row r="2" spans="1:8" x14ac:dyDescent="0.15">
      <c r="B2" t="s">
        <v>0</v>
      </c>
      <c r="C2" t="s">
        <v>1</v>
      </c>
      <c r="D2" t="s">
        <v>2</v>
      </c>
      <c r="F2" t="s">
        <v>3</v>
      </c>
      <c r="G2">
        <v>10000.000099999999</v>
      </c>
      <c r="H2" t="s">
        <v>4</v>
      </c>
    </row>
    <row r="3" spans="1:8" x14ac:dyDescent="0.15">
      <c r="A3" t="s">
        <v>5</v>
      </c>
      <c r="F3" t="s">
        <v>6</v>
      </c>
      <c r="G3">
        <v>10000.998799999999</v>
      </c>
      <c r="H3" t="s">
        <v>7</v>
      </c>
    </row>
    <row r="4" spans="1:8" x14ac:dyDescent="0.15">
      <c r="F4" t="s">
        <v>8</v>
      </c>
      <c r="G4">
        <v>100000.0088</v>
      </c>
      <c r="H4" t="s">
        <v>30</v>
      </c>
    </row>
    <row r="5" spans="1:8" x14ac:dyDescent="0.15">
      <c r="F5" t="s">
        <v>31</v>
      </c>
      <c r="G5">
        <v>3000.05</v>
      </c>
      <c r="H5" t="s">
        <v>32</v>
      </c>
    </row>
    <row r="7" spans="1:8" x14ac:dyDescent="0.15">
      <c r="A7" t="s">
        <v>12</v>
      </c>
      <c r="B7">
        <v>0</v>
      </c>
      <c r="C7">
        <v>10000.998799999999</v>
      </c>
      <c r="D7">
        <v>0</v>
      </c>
    </row>
    <row r="9" spans="1:8" x14ac:dyDescent="0.15">
      <c r="A9" t="s">
        <v>13</v>
      </c>
      <c r="B9">
        <v>13000.0501</v>
      </c>
      <c r="C9">
        <v>35000.998800000001</v>
      </c>
      <c r="D9">
        <v>75000.008799999996</v>
      </c>
    </row>
    <row r="10" spans="1:8" x14ac:dyDescent="0.15">
      <c r="A10" t="s">
        <v>14</v>
      </c>
      <c r="B10">
        <v>3000.05</v>
      </c>
      <c r="C10">
        <v>0</v>
      </c>
      <c r="D10">
        <v>0</v>
      </c>
    </row>
    <row r="11" spans="1:8" x14ac:dyDescent="0.15">
      <c r="A11" t="s">
        <v>15</v>
      </c>
      <c r="B11">
        <v>100000</v>
      </c>
      <c r="C11">
        <v>100000</v>
      </c>
      <c r="D11">
        <v>20000</v>
      </c>
    </row>
    <row r="12" spans="1:8" x14ac:dyDescent="0.15">
      <c r="A12" t="s">
        <v>16</v>
      </c>
      <c r="B12">
        <v>50000</v>
      </c>
      <c r="C12">
        <v>25000</v>
      </c>
      <c r="D12">
        <v>15000</v>
      </c>
    </row>
    <row r="14" spans="1:8" x14ac:dyDescent="0.15">
      <c r="A14" t="s">
        <v>17</v>
      </c>
      <c r="B14">
        <v>4.8999999999999998E-3</v>
      </c>
      <c r="C14">
        <v>0.62619999999999998</v>
      </c>
      <c r="D14">
        <v>1.07</v>
      </c>
    </row>
    <row r="16" spans="1:8" x14ac:dyDescent="0.15">
      <c r="A16" t="s">
        <v>18</v>
      </c>
      <c r="B16">
        <v>0.65</v>
      </c>
      <c r="C16">
        <v>0.65</v>
      </c>
      <c r="D16">
        <v>0.65</v>
      </c>
    </row>
    <row r="17" spans="1:6" x14ac:dyDescent="0.15">
      <c r="A17" t="s">
        <v>19</v>
      </c>
      <c r="B17">
        <v>0.01</v>
      </c>
      <c r="C17">
        <v>0.01</v>
      </c>
      <c r="D17">
        <v>0.01</v>
      </c>
    </row>
    <row r="18" spans="1:6" x14ac:dyDescent="0.15">
      <c r="A18" t="s">
        <v>20</v>
      </c>
      <c r="B18">
        <v>2025</v>
      </c>
      <c r="C18">
        <v>2025</v>
      </c>
      <c r="D18">
        <v>2025</v>
      </c>
    </row>
    <row r="25" spans="1:6" x14ac:dyDescent="0.15">
      <c r="A25" t="s">
        <v>21</v>
      </c>
    </row>
    <row r="27" spans="1:6" x14ac:dyDescent="0.15">
      <c r="A27" t="s">
        <v>22</v>
      </c>
      <c r="B27">
        <f t="shared" ref="B27:D28" si="0">B9</f>
        <v>13000.0501</v>
      </c>
      <c r="C27">
        <f t="shared" si="0"/>
        <v>35000.998800000001</v>
      </c>
      <c r="D27">
        <f t="shared" si="0"/>
        <v>75000.008799999996</v>
      </c>
      <c r="F27">
        <f t="shared" ref="F27:F32" si="1">SUM(B27:D27)</f>
        <v>123001.0577</v>
      </c>
    </row>
    <row r="28" spans="1:6" x14ac:dyDescent="0.15">
      <c r="A28" t="s">
        <v>23</v>
      </c>
      <c r="B28">
        <f t="shared" si="0"/>
        <v>3000.05</v>
      </c>
      <c r="C28">
        <f t="shared" si="0"/>
        <v>0</v>
      </c>
      <c r="D28">
        <f t="shared" si="0"/>
        <v>0</v>
      </c>
      <c r="F28">
        <f t="shared" si="1"/>
        <v>3000.05</v>
      </c>
    </row>
    <row r="29" spans="1:6" x14ac:dyDescent="0.15">
      <c r="A29" t="s">
        <v>24</v>
      </c>
      <c r="B29">
        <f>B9-B10</f>
        <v>10000.000100000001</v>
      </c>
      <c r="C29">
        <f>C9-C10</f>
        <v>35000.998800000001</v>
      </c>
      <c r="D29">
        <f>D9-D10</f>
        <v>75000.008799999996</v>
      </c>
      <c r="F29">
        <f t="shared" si="1"/>
        <v>120001.0077</v>
      </c>
    </row>
    <row r="30" spans="1:6" x14ac:dyDescent="0.15">
      <c r="A30" t="s">
        <v>25</v>
      </c>
      <c r="B30">
        <f>SUM(B29 / B11 * B12)</f>
        <v>5000.0000500000006</v>
      </c>
      <c r="C30">
        <f>SUM(C29 / C11 * C12)</f>
        <v>8750.2497000000003</v>
      </c>
      <c r="D30">
        <f>SUM(D29 / D11 * D12)</f>
        <v>56250.006600000001</v>
      </c>
      <c r="F30">
        <f t="shared" si="1"/>
        <v>70000.256349999996</v>
      </c>
    </row>
    <row r="31" spans="1:6" x14ac:dyDescent="0.15">
      <c r="A31" t="s">
        <v>26</v>
      </c>
      <c r="B31">
        <f>SUM((B14*B12)*(B16-((1-(B7/B29))*B17*(B18-2024))))</f>
        <v>156.80000000000001</v>
      </c>
      <c r="C31">
        <f>SUM((C14*C12)*(C16-((1-(C7/C29))*C17*(C18-2024))))</f>
        <v>10063.931762401593</v>
      </c>
      <c r="D31">
        <f>SUM((D14*D12)*(D16-((1-(D7/D29))*D17*(D18-2024))))</f>
        <v>10272.000000000002</v>
      </c>
      <c r="F31">
        <f t="shared" si="1"/>
        <v>20492.731762401592</v>
      </c>
    </row>
    <row r="32" spans="1:6" x14ac:dyDescent="0.15">
      <c r="A32" t="s">
        <v>29</v>
      </c>
      <c r="B32">
        <f>SUM(B30 - B31)</f>
        <v>4843.2000500000004</v>
      </c>
      <c r="C32">
        <f>SUM(C30 - C31)</f>
        <v>-1313.6820624015927</v>
      </c>
      <c r="D32">
        <f>SUM(D30 - D31)</f>
        <v>45978.006600000001</v>
      </c>
      <c r="F32">
        <f t="shared" si="1"/>
        <v>49507.524587598411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A5A4-A656-9D4C-ACAC-71665AFCD4EE}">
  <dimension ref="A2:I32"/>
  <sheetViews>
    <sheetView zoomScale="150" zoomScaleNormal="150" workbookViewId="0">
      <selection activeCell="H28" sqref="H28"/>
    </sheetView>
  </sheetViews>
  <sheetFormatPr baseColWidth="10" defaultRowHeight="13" x14ac:dyDescent="0.15"/>
  <cols>
    <col min="1" max="1" width="23.1640625" bestFit="1" customWidth="1"/>
    <col min="2" max="2" width="11.1640625" bestFit="1" customWidth="1"/>
    <col min="3" max="3" width="12.6640625" bestFit="1" customWidth="1"/>
    <col min="4" max="4" width="11.1640625" bestFit="1" customWidth="1"/>
    <col min="5" max="5" width="19.6640625" bestFit="1" customWidth="1"/>
    <col min="9" max="9" width="20.5" bestFit="1" customWidth="1"/>
  </cols>
  <sheetData>
    <row r="2" spans="1:9" x14ac:dyDescent="0.15">
      <c r="B2" t="s">
        <v>0</v>
      </c>
      <c r="C2" t="s">
        <v>1</v>
      </c>
      <c r="D2" t="s">
        <v>2</v>
      </c>
      <c r="E2" t="s">
        <v>33</v>
      </c>
      <c r="G2" t="s">
        <v>3</v>
      </c>
      <c r="H2">
        <v>10000.000099999999</v>
      </c>
      <c r="I2" t="s">
        <v>4</v>
      </c>
    </row>
    <row r="3" spans="1:9" x14ac:dyDescent="0.15">
      <c r="A3" t="s">
        <v>5</v>
      </c>
      <c r="G3" t="s">
        <v>6</v>
      </c>
      <c r="H3">
        <v>10000.998799999999</v>
      </c>
      <c r="I3" t="s">
        <v>7</v>
      </c>
    </row>
    <row r="4" spans="1:9" x14ac:dyDescent="0.15">
      <c r="G4" t="s">
        <v>8</v>
      </c>
      <c r="H4">
        <v>100000.0088</v>
      </c>
      <c r="I4" t="s">
        <v>30</v>
      </c>
    </row>
    <row r="5" spans="1:9" x14ac:dyDescent="0.15">
      <c r="G5" t="s">
        <v>31</v>
      </c>
      <c r="H5">
        <v>3000.05</v>
      </c>
      <c r="I5" t="s">
        <v>32</v>
      </c>
    </row>
    <row r="6" spans="1:9" x14ac:dyDescent="0.15">
      <c r="G6" t="s">
        <v>34</v>
      </c>
      <c r="H6">
        <v>55.55</v>
      </c>
      <c r="I6" t="s">
        <v>36</v>
      </c>
    </row>
    <row r="7" spans="1:9" x14ac:dyDescent="0.15">
      <c r="A7" t="s">
        <v>12</v>
      </c>
      <c r="B7">
        <v>0</v>
      </c>
      <c r="C7">
        <v>10000.998799999999</v>
      </c>
      <c r="D7">
        <v>0</v>
      </c>
      <c r="E7">
        <v>0</v>
      </c>
    </row>
    <row r="9" spans="1:9" x14ac:dyDescent="0.15">
      <c r="A9" t="s">
        <v>13</v>
      </c>
      <c r="B9">
        <v>13000.0501</v>
      </c>
      <c r="C9">
        <v>35000.998800000001</v>
      </c>
      <c r="D9">
        <v>75000.008799999996</v>
      </c>
      <c r="E9">
        <v>55.55</v>
      </c>
    </row>
    <row r="10" spans="1:9" x14ac:dyDescent="0.15">
      <c r="A10" t="s">
        <v>14</v>
      </c>
      <c r="B10">
        <v>3000.05</v>
      </c>
      <c r="C10">
        <v>0</v>
      </c>
      <c r="D10">
        <v>0</v>
      </c>
      <c r="E10">
        <v>0</v>
      </c>
    </row>
    <row r="11" spans="1:9" x14ac:dyDescent="0.15">
      <c r="A11" t="s">
        <v>15</v>
      </c>
      <c r="B11">
        <v>100000</v>
      </c>
      <c r="C11">
        <v>100000</v>
      </c>
      <c r="D11">
        <v>20000</v>
      </c>
      <c r="E11">
        <v>500</v>
      </c>
    </row>
    <row r="12" spans="1:9" x14ac:dyDescent="0.15">
      <c r="A12" t="s">
        <v>16</v>
      </c>
      <c r="B12">
        <v>50000</v>
      </c>
      <c r="C12">
        <v>25000</v>
      </c>
      <c r="D12">
        <v>15000</v>
      </c>
      <c r="E12">
        <v>300</v>
      </c>
    </row>
    <row r="14" spans="1:9" x14ac:dyDescent="0.15">
      <c r="A14" t="s">
        <v>17</v>
      </c>
      <c r="B14">
        <v>4.8999999999999998E-3</v>
      </c>
      <c r="C14">
        <v>0.62619999999999998</v>
      </c>
      <c r="D14">
        <v>1.07</v>
      </c>
      <c r="E14" t="s">
        <v>35</v>
      </c>
    </row>
    <row r="16" spans="1:9" x14ac:dyDescent="0.15">
      <c r="A16" t="s">
        <v>18</v>
      </c>
      <c r="B16">
        <v>0.65</v>
      </c>
      <c r="C16">
        <v>0.65</v>
      </c>
      <c r="D16">
        <v>0.65</v>
      </c>
      <c r="E16" t="s">
        <v>35</v>
      </c>
    </row>
    <row r="17" spans="1:8" x14ac:dyDescent="0.15">
      <c r="A17" t="s">
        <v>19</v>
      </c>
      <c r="B17">
        <v>0.01</v>
      </c>
      <c r="C17">
        <v>0.01</v>
      </c>
      <c r="D17">
        <v>0.01</v>
      </c>
      <c r="E17" t="s">
        <v>35</v>
      </c>
    </row>
    <row r="18" spans="1:8" x14ac:dyDescent="0.15">
      <c r="A18" t="s">
        <v>20</v>
      </c>
      <c r="B18">
        <v>2024</v>
      </c>
      <c r="C18">
        <v>2024</v>
      </c>
      <c r="D18">
        <v>2024</v>
      </c>
      <c r="E18">
        <v>2024</v>
      </c>
    </row>
    <row r="25" spans="1:8" x14ac:dyDescent="0.15">
      <c r="A25" t="s">
        <v>21</v>
      </c>
    </row>
    <row r="27" spans="1:8" ht="14" customHeight="1" x14ac:dyDescent="0.15">
      <c r="A27" t="s">
        <v>22</v>
      </c>
      <c r="B27">
        <f t="shared" ref="B27:D28" si="0">B9</f>
        <v>13000.0501</v>
      </c>
      <c r="C27">
        <f t="shared" si="0"/>
        <v>35000.998800000001</v>
      </c>
      <c r="D27">
        <f t="shared" si="0"/>
        <v>75000.008799999996</v>
      </c>
      <c r="E27">
        <v>55.55</v>
      </c>
      <c r="G27">
        <f>SUM(B27:E27)</f>
        <v>123056.60770000001</v>
      </c>
    </row>
    <row r="28" spans="1:8" x14ac:dyDescent="0.15">
      <c r="A28" t="s">
        <v>23</v>
      </c>
      <c r="B28">
        <f t="shared" si="0"/>
        <v>3000.05</v>
      </c>
      <c r="C28">
        <f t="shared" si="0"/>
        <v>0</v>
      </c>
      <c r="D28">
        <f t="shared" si="0"/>
        <v>0</v>
      </c>
      <c r="E28">
        <v>55.55</v>
      </c>
      <c r="G28">
        <f t="shared" ref="G28:G32" si="1">SUM(B28:E28)</f>
        <v>3055.6000000000004</v>
      </c>
      <c r="H28" t="s">
        <v>37</v>
      </c>
    </row>
    <row r="29" spans="1:8" x14ac:dyDescent="0.15">
      <c r="A29" t="s">
        <v>24</v>
      </c>
      <c r="B29">
        <f>B9-B10</f>
        <v>10000.000100000001</v>
      </c>
      <c r="C29">
        <f>C9-C10</f>
        <v>35000.998800000001</v>
      </c>
      <c r="D29">
        <f>D9-D10</f>
        <v>75000.008799999996</v>
      </c>
      <c r="E29">
        <v>0</v>
      </c>
      <c r="G29">
        <f t="shared" si="1"/>
        <v>120001.0077</v>
      </c>
    </row>
    <row r="30" spans="1:8" x14ac:dyDescent="0.15">
      <c r="A30" t="s">
        <v>25</v>
      </c>
      <c r="B30">
        <f>SUM(B29 / B11 * B12)</f>
        <v>5000.0000500000006</v>
      </c>
      <c r="C30">
        <f>SUM(C29 / C11 * C12)</f>
        <v>8750.2497000000003</v>
      </c>
      <c r="D30">
        <f>SUM(D29 / D11 * D12)</f>
        <v>56250.006600000001</v>
      </c>
      <c r="E30">
        <v>0</v>
      </c>
      <c r="G30">
        <f t="shared" si="1"/>
        <v>70000.256349999996</v>
      </c>
    </row>
    <row r="31" spans="1:8" x14ac:dyDescent="0.15">
      <c r="A31" t="s">
        <v>26</v>
      </c>
      <c r="B31">
        <f>SUM((B14*B12)*(B16-((1-(B7/B29))*B17*(B18-2024))))</f>
        <v>159.25</v>
      </c>
      <c r="C31">
        <f>SUM((C14*C12)*(C16-((1-(C7/C29))*C17*(C18-2024))))</f>
        <v>10175.75</v>
      </c>
      <c r="D31">
        <f>SUM((D14*D12)*(D16-((1-(D7/D29))*D17*(D18-2024))))</f>
        <v>10432.500000000002</v>
      </c>
      <c r="E31">
        <v>0</v>
      </c>
      <c r="G31">
        <f t="shared" si="1"/>
        <v>20767.5</v>
      </c>
    </row>
    <row r="32" spans="1:8" x14ac:dyDescent="0.15">
      <c r="A32" t="s">
        <v>29</v>
      </c>
      <c r="B32">
        <f>SUM(B30 - B31)</f>
        <v>4840.7500500000006</v>
      </c>
      <c r="C32">
        <f>SUM(C30 - C31)</f>
        <v>-1425.5002999999997</v>
      </c>
      <c r="D32">
        <f>SUM(D30 - D31)</f>
        <v>45817.506600000001</v>
      </c>
      <c r="E32">
        <v>0</v>
      </c>
      <c r="G32">
        <f t="shared" si="1"/>
        <v>49232.756350000003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32B2-CA50-9F42-9C95-A048CB850237}">
  <dimension ref="A2:I35"/>
  <sheetViews>
    <sheetView tabSelected="1" topLeftCell="A6" zoomScale="150" zoomScaleNormal="150" workbookViewId="0">
      <selection activeCell="B32" sqref="B32"/>
    </sheetView>
  </sheetViews>
  <sheetFormatPr baseColWidth="10" defaultRowHeight="13" x14ac:dyDescent="0.15"/>
  <cols>
    <col min="1" max="1" width="30.6640625" bestFit="1" customWidth="1"/>
    <col min="2" max="2" width="24.83203125" bestFit="1" customWidth="1"/>
    <col min="3" max="3" width="31" bestFit="1" customWidth="1"/>
    <col min="6" max="6" width="12.6640625" bestFit="1" customWidth="1"/>
    <col min="7" max="7" width="11.1640625" bestFit="1" customWidth="1"/>
    <col min="9" max="9" width="56.6640625" customWidth="1"/>
  </cols>
  <sheetData>
    <row r="2" spans="1:9" x14ac:dyDescent="0.15">
      <c r="B2" t="s">
        <v>38</v>
      </c>
      <c r="C2" t="s">
        <v>39</v>
      </c>
      <c r="D2" t="s">
        <v>2</v>
      </c>
      <c r="F2" t="s">
        <v>3</v>
      </c>
      <c r="G2">
        <v>10000.000099999999</v>
      </c>
      <c r="H2" t="s">
        <v>40</v>
      </c>
    </row>
    <row r="3" spans="1:9" x14ac:dyDescent="0.15">
      <c r="A3" t="s">
        <v>5</v>
      </c>
      <c r="F3" t="s">
        <v>6</v>
      </c>
      <c r="G3">
        <v>20000.998800000001</v>
      </c>
      <c r="H3" t="s">
        <v>7</v>
      </c>
    </row>
    <row r="4" spans="1:9" x14ac:dyDescent="0.15">
      <c r="F4" t="s">
        <v>8</v>
      </c>
      <c r="G4">
        <v>10000.049999999999</v>
      </c>
      <c r="H4" t="s">
        <v>41</v>
      </c>
    </row>
    <row r="5" spans="1:9" x14ac:dyDescent="0.15">
      <c r="F5" t="s">
        <v>31</v>
      </c>
      <c r="G5">
        <v>500</v>
      </c>
      <c r="H5" t="s">
        <v>43</v>
      </c>
    </row>
    <row r="6" spans="1:9" ht="107" customHeight="1" x14ac:dyDescent="0.15">
      <c r="I6" s="1" t="s">
        <v>44</v>
      </c>
    </row>
    <row r="7" spans="1:9" x14ac:dyDescent="0.15">
      <c r="A7" t="s">
        <v>12</v>
      </c>
      <c r="B7">
        <v>10000.048000000001</v>
      </c>
      <c r="C7">
        <v>20001.000800000002</v>
      </c>
      <c r="D7">
        <v>0</v>
      </c>
      <c r="F7" t="s">
        <v>45</v>
      </c>
      <c r="G7" s="1">
        <f>SUM(G2:G5)</f>
        <v>40501.048899999994</v>
      </c>
    </row>
    <row r="9" spans="1:9" x14ac:dyDescent="0.15">
      <c r="A9" t="s">
        <v>53</v>
      </c>
      <c r="B9">
        <v>12100.048000000001</v>
      </c>
      <c r="C9">
        <v>22101.000800000002</v>
      </c>
      <c r="D9">
        <v>6300.0001000000002</v>
      </c>
    </row>
    <row r="10" spans="1:9" x14ac:dyDescent="0.15">
      <c r="A10" t="s">
        <v>51</v>
      </c>
      <c r="B10">
        <v>100</v>
      </c>
      <c r="C10">
        <v>100</v>
      </c>
      <c r="D10">
        <v>300</v>
      </c>
    </row>
    <row r="11" spans="1:9" x14ac:dyDescent="0.15">
      <c r="A11" t="s">
        <v>15</v>
      </c>
      <c r="B11">
        <v>10000</v>
      </c>
      <c r="C11">
        <v>15000</v>
      </c>
      <c r="D11">
        <v>200</v>
      </c>
    </row>
    <row r="12" spans="1:9" x14ac:dyDescent="0.15">
      <c r="A12" t="s">
        <v>16</v>
      </c>
      <c r="B12">
        <v>0</v>
      </c>
      <c r="C12">
        <v>0</v>
      </c>
      <c r="D12">
        <v>0</v>
      </c>
    </row>
    <row r="14" spans="1:9" x14ac:dyDescent="0.15">
      <c r="A14" t="s">
        <v>17</v>
      </c>
      <c r="B14">
        <v>0.32</v>
      </c>
      <c r="C14">
        <v>0.38219999999999998</v>
      </c>
      <c r="D14">
        <v>1.07</v>
      </c>
    </row>
    <row r="16" spans="1:9" x14ac:dyDescent="0.15">
      <c r="A16" t="s">
        <v>18</v>
      </c>
      <c r="B16">
        <v>0.65</v>
      </c>
      <c r="C16">
        <v>0.9</v>
      </c>
      <c r="D16">
        <v>0.65</v>
      </c>
    </row>
    <row r="17" spans="1:8" x14ac:dyDescent="0.15">
      <c r="A17" t="s">
        <v>19</v>
      </c>
      <c r="B17">
        <v>0.01</v>
      </c>
      <c r="C17">
        <v>0.01</v>
      </c>
      <c r="D17">
        <v>0.01</v>
      </c>
    </row>
    <row r="18" spans="1:8" x14ac:dyDescent="0.15">
      <c r="A18" t="s">
        <v>20</v>
      </c>
      <c r="B18">
        <v>2025</v>
      </c>
      <c r="C18">
        <v>2025</v>
      </c>
      <c r="D18">
        <v>2025</v>
      </c>
    </row>
    <row r="24" spans="1:8" x14ac:dyDescent="0.15">
      <c r="A24" t="s">
        <v>42</v>
      </c>
      <c r="B24">
        <v>0.4</v>
      </c>
      <c r="C24">
        <v>0.6</v>
      </c>
      <c r="D24">
        <v>0</v>
      </c>
    </row>
    <row r="25" spans="1:8" x14ac:dyDescent="0.15">
      <c r="A25" t="s">
        <v>47</v>
      </c>
      <c r="B25">
        <f>G4*B24</f>
        <v>4000.02</v>
      </c>
      <c r="C25">
        <f>C24*G4</f>
        <v>6000.03</v>
      </c>
      <c r="D25">
        <v>0</v>
      </c>
    </row>
    <row r="26" spans="1:8" x14ac:dyDescent="0.15">
      <c r="A26" t="s">
        <v>48</v>
      </c>
      <c r="B26">
        <f>B7-B25</f>
        <v>6000.0280000000002</v>
      </c>
      <c r="C26">
        <f>C7-C25</f>
        <v>14000.970800000003</v>
      </c>
      <c r="D26">
        <v>0</v>
      </c>
    </row>
    <row r="28" spans="1:8" x14ac:dyDescent="0.15">
      <c r="A28" t="s">
        <v>22</v>
      </c>
      <c r="B28">
        <f>B9</f>
        <v>12100.048000000001</v>
      </c>
      <c r="C28">
        <f>C9</f>
        <v>22101.000800000002</v>
      </c>
      <c r="D28">
        <f>D9</f>
        <v>6300.0001000000002</v>
      </c>
      <c r="F28">
        <f t="shared" ref="F28:F33" si="0">SUM(B28:D28)</f>
        <v>40501.048900000002</v>
      </c>
    </row>
    <row r="29" spans="1:8" x14ac:dyDescent="0.15">
      <c r="A29" t="s">
        <v>23</v>
      </c>
      <c r="B29">
        <f>B10+B25</f>
        <v>4100.0200000000004</v>
      </c>
      <c r="C29">
        <f>C10+C25</f>
        <v>6100.03</v>
      </c>
      <c r="D29">
        <f>D10+D25</f>
        <v>300</v>
      </c>
      <c r="F29">
        <f t="shared" si="0"/>
        <v>10500.05</v>
      </c>
    </row>
    <row r="30" spans="1:8" x14ac:dyDescent="0.15">
      <c r="A30" t="s">
        <v>24</v>
      </c>
      <c r="B30">
        <f>B28-B29</f>
        <v>8000.0280000000002</v>
      </c>
      <c r="C30">
        <f>C28-C29</f>
        <v>16000.970800000003</v>
      </c>
      <c r="D30">
        <f>D28-D29</f>
        <v>6000.0001000000002</v>
      </c>
      <c r="F30">
        <f t="shared" si="0"/>
        <v>30000.998900000002</v>
      </c>
      <c r="G30">
        <f>F30+F29</f>
        <v>40501.048900000002</v>
      </c>
      <c r="H30" t="s">
        <v>52</v>
      </c>
    </row>
    <row r="31" spans="1:8" x14ac:dyDescent="0.15">
      <c r="A31" t="s">
        <v>25</v>
      </c>
      <c r="B31">
        <f>SUM(B28 / B11 * B12)</f>
        <v>0</v>
      </c>
      <c r="C31">
        <f>SUM(C28 / C11 * C12)</f>
        <v>0</v>
      </c>
      <c r="D31">
        <f>SUM(D28 / D11 * D12)</f>
        <v>0</v>
      </c>
      <c r="F31">
        <f t="shared" si="0"/>
        <v>0</v>
      </c>
    </row>
    <row r="32" spans="1:8" x14ac:dyDescent="0.15">
      <c r="A32" t="s">
        <v>26</v>
      </c>
      <c r="B32">
        <f>SUM((B14*B11)*(B16-((1-(B26/B30))*B17*(B18-2024))))</f>
        <v>2072.0000279999022</v>
      </c>
      <c r="C32">
        <f>SUM((C14*C11)*(C16-((1-(C26/C30))*C17*(C18-2024))))</f>
        <v>5152.5341847858381</v>
      </c>
      <c r="D32">
        <f>SUM((D14*D11)*(D16-((1-(D26/D30))*D17*(D18-2024))))</f>
        <v>136.96</v>
      </c>
      <c r="F32">
        <f t="shared" si="0"/>
        <v>7361.4942127857403</v>
      </c>
    </row>
    <row r="33" spans="1:9" x14ac:dyDescent="0.15">
      <c r="A33" t="s">
        <v>29</v>
      </c>
      <c r="B33">
        <f>SUM(B30 - B32)</f>
        <v>5928.0279720000981</v>
      </c>
      <c r="C33">
        <f>SUM(C30 - C32)</f>
        <v>10848.436615214165</v>
      </c>
      <c r="D33">
        <f>SUM(D30 - D32)</f>
        <v>5863.0401000000002</v>
      </c>
      <c r="F33">
        <f t="shared" si="0"/>
        <v>22639.504687214263</v>
      </c>
      <c r="H33" t="s">
        <v>49</v>
      </c>
      <c r="I33" t="s">
        <v>50</v>
      </c>
    </row>
    <row r="35" spans="1:9" x14ac:dyDescent="0.15">
      <c r="B3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 (chem. Pulp)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Bastianelli, Pierre WLRS:EX</cp:lastModifiedBy>
  <cp:revision>5</cp:revision>
  <dcterms:created xsi:type="dcterms:W3CDTF">2025-01-13T15:44:55Z</dcterms:created>
  <dcterms:modified xsi:type="dcterms:W3CDTF">2026-02-13T22:32:32Z</dcterms:modified>
  <dc:language>en-CA</dc:language>
</cp:coreProperties>
</file>